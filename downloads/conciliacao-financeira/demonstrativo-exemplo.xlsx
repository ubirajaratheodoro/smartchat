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0638986da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mplo fictício" sheetId="1" r:id="R005d7c5985e7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 &quot;#,##0.00;[Red]&quot;-R$ &quot;#,##0.00"/>
    <x:numFmt numFmtId="201" formatCode="dd/mm/yyyy"/>
  </x:numFmts>
  <x:fonts count="6">
    <x:font>
      <x:sz val="11"/>
      <x:name val="Carlito"/>
    </x:font>
    <x:font>
      <x:sz val="11"/>
      <x:color rgb="FF17365D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  <x:font>
      <x:b/>
      <x:sz val="11"/>
      <x:color rgb="FF9C6500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d34af24594749" /><Relationship Type="http://schemas.openxmlformats.org/officeDocument/2006/relationships/theme" Target="/xl/theme/theme1.xml" Id="R940dbdfef8294fac" /><Relationship Type="http://schemas.openxmlformats.org/officeDocument/2006/relationships/sharedStrings" Target="/xl/sharedStrings.xml" Id="Rd27633b3c79d42c9" /><Relationship Type="http://schemas.openxmlformats.org/officeDocument/2006/relationships/worksheet" Target="/xl/worksheets/sheet1.xml" Id="R005d7c5985e7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9" hidden="0" customWidth="1"/>
    <x:col min="4" max="4" width="54" hidden="0" customWidth="1"/>
    <x:col min="5" max="5" width="38" hidden="0" customWidth="1"/>
    <x:col min="6" max="6" width="21" hidden="0" customWidth="1"/>
    <x:col min="7" max="7" width="52" hidden="0" customWidth="1"/>
  </x:cols>
  <x:sheetData>
    <x:row r="1" ht="19.200000762939453" hidden="0" customHeight="1">
      <x:c r="A1" s="5" t="str">
        <x:v>DEMONSTRATIVO FINANCEIRO - EXEMPLO INTEIRAMENTE FICTÍCIO</x:v>
      </x:c>
      <x:c r="B1" s="5"/>
      <x:c r="C1" s="5"/>
      <x:c r="D1" s="5"/>
      <x:c r="E1" s="5"/>
      <x:c r="F1" s="5"/>
      <x:c r="G1" s="5"/>
    </x:row>
    <x:row r="2" ht="15" hidden="0" customHeight="1">
      <x:c r="A2" s="2" t="str">
        <x:v>Ilustração pública. Valores, partes e documentos inventados para demonstração.</x:v>
      </x:c>
      <x:c r="B2" s="2"/>
      <x:c r="C2" s="2"/>
      <x:c r="D2" s="2"/>
      <x:c r="E2" s="2"/>
      <x:c r="F2" s="2"/>
      <x:c r="G2" s="2"/>
    </x:row>
    <x:row r="3" ht="15" hidden="0" customHeight="1">
      <x:c r="A3" s="2"/>
      <x:c r="B3" s="2"/>
      <x:c r="C3" s="2"/>
      <x:c r="D3" s="2"/>
      <x:c r="E3" s="2"/>
      <x:c r="F3" s="2"/>
      <x:c r="G3" s="2"/>
    </x:row>
    <x:row r="4" ht="26.399999618530273" hidden="0" customHeight="1">
      <x:c r="A4" s="8" t="str">
        <x:v>Empresa</x:v>
      </x:c>
      <x:c r="B4" s="6" t="str">
        <x:v>Empresa de demonstração</x:v>
      </x:c>
      <x:c r="C4" s="2"/>
      <x:c r="D4" s="8" t="str">
        <x:v>Saldo inicial</x:v>
      </x:c>
      <x:c r="E4" s="11" t="n">
        <x:v>12000</x:v>
      </x:c>
      <x:c r="F4" s="12" t="str">
        <x:v>Base do exemplo</x:v>
      </x:c>
      <x:c r="G4" s="13" t="n">
        <x:f>ROUND(SUM(F13:F24),2)</x:f>
        <x:v>7500</x:v>
      </x:c>
    </x:row>
    <x:row r="5" ht="15" hidden="0" customHeight="1">
      <x:c r="A5" s="8" t="str">
        <x:v>Moeda</x:v>
      </x:c>
      <x:c r="B5" s="2" t="str">
        <x:v>BRL</x:v>
      </x:c>
      <x:c r="C5" s="2"/>
      <x:c r="D5" s="8" t="str">
        <x:v>Entradas</x:v>
      </x:c>
      <x:c r="E5" s="11" t="n">
        <x:f>ROUND(SUMIF(A13:A24,"CREDIT",C13:C24),2)</x:f>
        <x:v>15000</x:v>
      </x:c>
      <x:c r="F5" s="8" t="str">
        <x:v>Conciliação</x:v>
      </x:c>
      <x:c r="G5" s="2" t="str">
        <x:f>IF(ABS(E9)&lt;=0.01,"OK","DIVERGENTE")</x:f>
        <x:v>OK</x:v>
      </x:c>
    </x:row>
    <x:row r="6" ht="15" hidden="0" customHeight="1">
      <x:c r="A6" s="8" t="str">
        <x:v>Período</x:v>
      </x:c>
      <x:c r="B6" s="2" t="str">
        <x:v>Setembro/2026</x:v>
      </x:c>
      <x:c r="C6" s="2"/>
      <x:c r="D6" s="8" t="str">
        <x:v>Saídas</x:v>
      </x:c>
      <x:c r="E6" s="11" t="n">
        <x:f>ROUND(-SUMIF(A13:A24,"PAYMENT",C13:C24),2)</x:f>
        <x:v>7320</x:v>
      </x:c>
      <x:c r="F6" s="2"/>
      <x:c r="G6" s="2"/>
    </x:row>
    <x:row r="7" ht="26.399999618530273" hidden="0" customHeight="1">
      <x:c r="A7" s="8" t="str">
        <x:v>Movimentos bancários</x:v>
      </x:c>
      <x:c r="B7" s="2" t="n">
        <x:v>11</x:v>
      </x:c>
      <x:c r="C7" s="2"/>
      <x:c r="D7" s="8" t="str">
        <x:v>Saldo final calculado</x:v>
      </x:c>
      <x:c r="E7" s="11" t="n">
        <x:f>ROUND(E4+E5-E6,2)</x:f>
        <x:v>19680</x:v>
      </x:c>
      <x:c r="F7" s="2"/>
      <x:c r="G7" s="2"/>
    </x:row>
    <x:row r="8" ht="15" hidden="0" customHeight="1">
      <x:c r="A8" s="8" t="str">
        <x:v>Linhas de detalhe</x:v>
      </x:c>
      <x:c r="B8" s="2" t="n">
        <x:v>12</x:v>
      </x:c>
      <x:c r="C8" s="2"/>
      <x:c r="D8" s="8" t="str">
        <x:v>Saldo final de referência</x:v>
      </x:c>
      <x:c r="E8" s="11" t="n">
        <x:v>19680</x:v>
      </x:c>
      <x:c r="F8" s="2"/>
      <x:c r="G8" s="2"/>
    </x:row>
    <x:row r="9" ht="15" hidden="0" customHeight="1">
      <x:c r="A9" s="2"/>
      <x:c r="B9" s="2"/>
      <x:c r="C9" s="2"/>
      <x:c r="D9" s="8" t="str">
        <x:v>Diferença de saldo</x:v>
      </x:c>
      <x:c r="E9" s="11" t="n">
        <x:f>ROUND(E7-E8,2)</x:f>
        <x:v>0</x:v>
      </x:c>
      <x:c r="F9" s="2"/>
      <x:c r="G9" s="2"/>
    </x:row>
    <x:row r="10" ht="15" hidden="0" customHeight="1">
      <x:c r="A10" s="2"/>
      <x:c r="B10" s="2"/>
      <x:c r="C10" s="2"/>
      <x:c r="D10" s="2"/>
      <x:c r="E10" s="2"/>
      <x:c r="F10" s="2"/>
      <x:c r="G10" s="2"/>
    </x:row>
    <x:row r="11" ht="15" hidden="0" customHeight="1">
      <x:c r="A11" s="15" t="str">
        <x:v>DADOS FICTÍCIOS - NÃO UTILIZAR COMO DOCUMENTO CONTÁBIL</x:v>
      </x:c>
      <x:c r="B11" s="15"/>
      <x:c r="C11" s="15"/>
      <x:c r="D11" s="15"/>
      <x:c r="E11" s="15"/>
      <x:c r="F11" s="15"/>
      <x:c r="G11" s="15"/>
    </x:row>
    <x:row r="12" ht="15" hidden="0" customHeight="1">
      <x:c r="A12" s="18" t="str">
        <x:v>TIPO</x:v>
      </x:c>
      <x:c r="B12" s="18" t="str">
        <x:v>DATA</x:v>
      </x:c>
      <x:c r="C12" s="18" t="str">
        <x:v>VALOR</x:v>
      </x:c>
      <x:c r="D12" s="18" t="str">
        <x:v>DESCRIÇÃO</x:v>
      </x:c>
      <x:c r="E12" s="18" t="str">
        <x:v>CATEGORIA</x:v>
      </x:c>
      <x:c r="F12" s="18" t="str">
        <x:v>BASE DO EXEMPLO</x:v>
      </x:c>
      <x:c r="G12" s="18" t="str">
        <x:v>DOCUMENTOS ILUSTRATIVOS</x:v>
      </x:c>
    </x:row>
    <x:row r="13" ht="26.399999618530273" hidden="0" customHeight="1">
      <x:c r="A13" s="26" t="str">
        <x:v>PAYMENT</x:v>
      </x:c>
      <x:c r="B13" s="27" t="d">
        <x:v>2026-09-03T00:00:00.000Z</x:v>
      </x:c>
      <x:c r="C13" s="28" t="n">
        <x:v>-2000</x:v>
      </x:c>
      <x:c r="D13" s="29" t="str">
        <x:v>Fornecedor Modelo - adiantamento para manutenção.</x:v>
      </x:c>
      <x:c r="E13" s="29" t="str">
        <x:v>ADIANTAMENTO A FORNECEDORES</x:v>
      </x:c>
      <x:c r="F13" s="30" t="n">
        <x:v>0</x:v>
      </x:c>
      <x:c r="G13" s="29" t="str">
        <x:v>EXEMPLO FICTÍCIO: DOC-001. Nota fiscal a receber; pendência liberada no cenário ilustrativo.</x:v>
      </x:c>
    </x:row>
    <x:row r="14" ht="15" hidden="0" customHeight="1">
      <x:c r="A14" s="36" t="str">
        <x:v>PAYMENT</x:v>
      </x:c>
      <x:c r="B14" s="37" t="d">
        <x:v>2026-09-04T00:00:00.000Z</x:v>
      </x:c>
      <x:c r="C14" s="38" t="n">
        <x:v>-900</x:v>
      </x:c>
      <x:c r="D14" s="39" t="str">
        <x:v>Administrador de demonstração - pró-labore.</x:v>
      </x:c>
      <x:c r="E14" s="39" t="str">
        <x:v>PRÓ-LABORE</x:v>
      </x:c>
      <x:c r="F14" s="40" t="n">
        <x:v>0</x:v>
      </x:c>
      <x:c r="G14" s="39" t="str">
        <x:v>EXEMPLO FICTÍCIO: DOC-002.</x:v>
      </x:c>
    </x:row>
    <x:row r="15" ht="15" hidden="0" customHeight="1">
      <x:c r="A15" s="26" t="str">
        <x:v>CREDIT</x:v>
      </x:c>
      <x:c r="B15" s="27" t="d">
        <x:v>2026-09-05T00:00:00.000Z</x:v>
      </x:c>
      <x:c r="C15" s="28" t="n">
        <x:v>2300</x:v>
      </x:c>
      <x:c r="D15" s="29" t="str">
        <x:v>Locatário Alfa - aluguel do período.</x:v>
      </x:c>
      <x:c r="E15" s="29" t="str">
        <x:v>RECEITA ALUGUÉIS</x:v>
      </x:c>
      <x:c r="F15" s="30" t="n">
        <x:v>2300</x:v>
      </x:c>
      <x:c r="G15" s="29" t="str">
        <x:v>EXEMPLO FICTÍCIO: DOC-003.</x:v>
      </x:c>
    </x:row>
    <x:row r="16" ht="15" hidden="0" customHeight="1">
      <x:c r="A16" s="36" t="str">
        <x:v>PAYMENT</x:v>
      </x:c>
      <x:c r="B16" s="37" t="d">
        <x:v>2026-09-08T00:00:00.000Z</x:v>
      </x:c>
      <x:c r="C16" s="38" t="n">
        <x:v>-120</x:v>
      </x:c>
      <x:c r="D16" s="39" t="str">
        <x:v>PIS - parcela de pagamento conjunto fictício de R$ 620,00.</x:v>
      </x:c>
      <x:c r="E16" s="39" t="str">
        <x:v>IMPOSTOS FEDERAIS - PIS</x:v>
      </x:c>
      <x:c r="F16" s="40" t="n">
        <x:v>0</x:v>
      </x:c>
      <x:c r="G16" s="39" t="str">
        <x:v>EXEMPLO FICTÍCIO: DOC-004. Mesmo movimento da parcela COFINS.</x:v>
      </x:c>
    </x:row>
    <x:row r="17" ht="15" hidden="0" customHeight="1">
      <x:c r="A17" s="26" t="str">
        <x:v>PAYMENT</x:v>
      </x:c>
      <x:c r="B17" s="27" t="d">
        <x:v>2026-09-08T00:00:00.000Z</x:v>
      </x:c>
      <x:c r="C17" s="28" t="n">
        <x:v>-500</x:v>
      </x:c>
      <x:c r="D17" s="29" t="str">
        <x:v>COFINS - parcela do mesmo pagamento conjunto fictício.</x:v>
      </x:c>
      <x:c r="E17" s="29" t="str">
        <x:v>IMPOSTOS FEDERAIS - COFINS</x:v>
      </x:c>
      <x:c r="F17" s="30" t="n">
        <x:v>0</x:v>
      </x:c>
      <x:c r="G17" s="29" t="str">
        <x:v>EXEMPLO FICTÍCIO: DOC-004. PIS + COFINS = R$ 620,00.</x:v>
      </x:c>
    </x:row>
    <x:row r="18" ht="15" hidden="0" customHeight="1">
      <x:c r="A18" s="36" t="str">
        <x:v>CREDIT</x:v>
      </x:c>
      <x:c r="B18" s="37" t="d">
        <x:v>2026-09-10T00:00:00.000Z</x:v>
      </x:c>
      <x:c r="C18" s="38" t="n">
        <x:v>3400</x:v>
      </x:c>
      <x:c r="D18" s="39" t="str">
        <x:v>Locatário Beta - aluguel do período.</x:v>
      </x:c>
      <x:c r="E18" s="39" t="str">
        <x:v>RECEITA ALUGUÉIS</x:v>
      </x:c>
      <x:c r="F18" s="40" t="n">
        <x:v>3400</x:v>
      </x:c>
      <x:c r="G18" s="39" t="str">
        <x:v>EXEMPLO FICTÍCIO: DOC-005.</x:v>
      </x:c>
    </x:row>
    <x:row r="19" ht="15" hidden="0" customHeight="1">
      <x:c r="A19" s="26" t="str">
        <x:v>PAYMENT</x:v>
      </x:c>
      <x:c r="B19" s="27" t="d">
        <x:v>2026-09-12T00:00:00.000Z</x:v>
      </x:c>
      <x:c r="C19" s="28" t="n">
        <x:v>-850</x:v>
      </x:c>
      <x:c r="D19" s="29" t="str">
        <x:v>Operadora Exemplo - plano de saúde empresarial.</x:v>
      </x:c>
      <x:c r="E19" s="29" t="str">
        <x:v>PLANO DE SAÚDE</x:v>
      </x:c>
      <x:c r="F19" s="30" t="n">
        <x:v>0</x:v>
      </x:c>
      <x:c r="G19" s="29" t="str">
        <x:v>EXEMPLO FICTÍCIO: DOC-006.</x:v>
      </x:c>
    </x:row>
    <x:row r="20" ht="26.399999618530273" hidden="0" customHeight="1">
      <x:c r="A20" s="36" t="str">
        <x:v>CREDIT</x:v>
      </x:c>
      <x:c r="B20" s="37" t="d">
        <x:v>2026-09-15T00:00:00.000Z</x:v>
      </x:c>
      <x:c r="C20" s="38" t="n">
        <x:v>7500</x:v>
      </x:c>
      <x:c r="D20" s="39" t="str">
        <x:v>Seguradora Exemplo - ressarcimento para reparo.</x:v>
      </x:c>
      <x:c r="E20" s="39" t="str">
        <x:v>RESSARCIMENTO/INDENIZAÇÃO DE SEGURO</x:v>
      </x:c>
      <x:c r="F20" s="40" t="n">
        <x:v>0</x:v>
      </x:c>
      <x:c r="G20" s="39" t="str">
        <x:v>EXEMPLO FICTÍCIO: DOC-007. Fora da base apenas no cenário demonstrado.</x:v>
      </x:c>
    </x:row>
    <x:row r="21" ht="15" hidden="0" customHeight="1">
      <x:c r="A21" s="26" t="str">
        <x:v>PAYMENT</x:v>
      </x:c>
      <x:c r="B21" s="27" t="d">
        <x:v>2026-09-18T00:00:00.000Z</x:v>
      </x:c>
      <x:c r="C21" s="28" t="n">
        <x:v>-450</x:v>
      </x:c>
      <x:c r="D21" s="29" t="str">
        <x:v>Escritório Exemplo - serviços contábeis.</x:v>
      </x:c>
      <x:c r="E21" s="29" t="str">
        <x:v>CONTABILIDADE</x:v>
      </x:c>
      <x:c r="F21" s="30" t="n">
        <x:v>0</x:v>
      </x:c>
      <x:c r="G21" s="29" t="str">
        <x:v>EXEMPLO FICTÍCIO: DOC-008.</x:v>
      </x:c>
    </x:row>
    <x:row r="22" ht="15" hidden="0" customHeight="1">
      <x:c r="A22" s="36" t="str">
        <x:v>PAYMENT</x:v>
      </x:c>
      <x:c r="B22" s="37" t="d">
        <x:v>2026-09-20T00:00:00.000Z</x:v>
      </x:c>
      <x:c r="C22" s="38" t="n">
        <x:v>-1000</x:v>
      </x:c>
      <x:c r="D22" s="39" t="str">
        <x:v>Aplicação financeira de demonstração.</x:v>
      </x:c>
      <x:c r="E22" s="39" t="str">
        <x:v>APLICAÇÕES FINANCEIRAS</x:v>
      </x:c>
      <x:c r="F22" s="40" t="n">
        <x:v>0</x:v>
      </x:c>
      <x:c r="G22" s="39" t="str">
        <x:v>EXEMPLO FICTÍCIO: DOC-009.</x:v>
      </x:c>
    </x:row>
    <x:row r="23" ht="15" hidden="0" customHeight="1">
      <x:c r="A23" s="26" t="str">
        <x:v>PAYMENT</x:v>
      </x:c>
      <x:c r="B23" s="27" t="d">
        <x:v>2026-09-22T00:00:00.000Z</x:v>
      </x:c>
      <x:c r="C23" s="28" t="n">
        <x:v>-1500</x:v>
      </x:c>
      <x:c r="D23" s="29" t="str">
        <x:v>Sócio de demonstração - distribuição de lucros.</x:v>
      </x:c>
      <x:c r="E23" s="29" t="str">
        <x:v>DISTRIBUIÇÃO DE LUCROS</x:v>
      </x:c>
      <x:c r="F23" s="30" t="n">
        <x:v>0</x:v>
      </x:c>
      <x:c r="G23" s="29" t="str">
        <x:v>EXEMPLO FICTÍCIO: DOC-010.</x:v>
      </x:c>
    </x:row>
    <x:row r="24" ht="15" hidden="0" customHeight="1">
      <x:c r="A24" s="36" t="str">
        <x:v>CREDIT</x:v>
      </x:c>
      <x:c r="B24" s="37" t="d">
        <x:v>2026-09-28T00:00:00.000Z</x:v>
      </x:c>
      <x:c r="C24" s="38" t="n">
        <x:v>1800</x:v>
      </x:c>
      <x:c r="D24" s="39" t="str">
        <x:v>Locatário Gama - aluguel do período.</x:v>
      </x:c>
      <x:c r="E24" s="39" t="str">
        <x:v>RECEITA ALUGUÉIS</x:v>
      </x:c>
      <x:c r="F24" s="40" t="n">
        <x:v>1800</x:v>
      </x:c>
      <x:c r="G24" s="39" t="str">
        <x:v>EXEMPLO FICTÍCIO: DOC-011.</x:v>
      </x:c>
    </x:row>
    <x:row r="25" ht="15" hidden="0" customHeight="1">
      <x:c r="A25" s="2"/>
      <x:c r="B25" s="2"/>
      <x:c r="C25" s="2"/>
      <x:c r="D25" s="2"/>
      <x:c r="E25" s="6" t="str">
        <x:v>TOTAL DA BASE DO EXEMPLO</x:v>
      </x:c>
      <x:c r="F25" s="13" t="n">
        <x:f>ROUND(SUM(F13:F24),2)</x:f>
        <x:v>7500</x:v>
      </x:c>
      <x:c r="G25" s="2"/>
    </x:row>
    <x:row r="26" ht="15" hidden="0" customHeight="1">
      <x:c r="A26" s="2"/>
      <x:c r="B26" s="2"/>
      <x:c r="C26" s="2"/>
      <x:c r="D26" s="2"/>
      <x:c r="E26" s="2"/>
      <x:c r="F26" s="2"/>
      <x:c r="G26" s="2"/>
    </x:row>
    <x:row r="27" ht="15" hidden="0" customHeight="1">
      <x:c r="A27" s="10" t="str">
        <x:v>COMO LER ESTE EXEMPLO</x:v>
      </x:c>
      <x:c r="B27" s="10"/>
      <x:c r="C27" s="10"/>
      <x:c r="D27" s="10"/>
      <x:c r="E27" s="10"/>
      <x:c r="F27" s="10"/>
      <x:c r="G27" s="10"/>
    </x:row>
    <x:row r="28" ht="15" hidden="0" customHeight="1">
      <x:c r="A28" s="6" t="str">
        <x:v>Esta planilha foi construída exclusivamente com dados sintéticos para ilustrar uma entrega. Não é o resultado de uma nova execução sobre comprovantes públicos.</x:v>
      </x:c>
      <x:c r="B28" s="6"/>
      <x:c r="C28" s="6"/>
      <x:c r="D28" s="6"/>
      <x:c r="E28" s="6"/>
      <x:c r="F28" s="6"/>
      <x:c r="G28" s="6"/>
    </x:row>
    <x:row r="29" ht="15" hidden="0" customHeight="1">
      <x:c r="A29" s="6" t="str">
        <x:v>Um movimento de pagamento de R$ 620,00 é mostrado em duas linhas: PIS de R$ 120,00 e COFINS de R$ 500,00. Assim, 11 movimentos aparecem em 12 linhas, sem dupla contagem.</x:v>
      </x:c>
      <x:c r="B29" s="6"/>
      <x:c r="C29" s="6"/>
      <x:c r="D29" s="6"/>
      <x:c r="E29" s="6"/>
      <x:c r="F29" s="6"/>
      <x:c r="G29" s="6"/>
    </x:row>
    <x:row r="30" ht="15" hidden="0" customHeight="1">
      <x:c r="A30" s="6" t="str">
        <x:v>A base de R$ 7.500,00 inclui apenas os três aluguéis neste cenário inventado. A exclusão do ressarcimento não estabelece orientação tributária para casos reais.</x:v>
      </x:c>
      <x:c r="B30" s="6"/>
      <x:c r="C30" s="6"/>
      <x:c r="D30" s="6"/>
      <x:c r="E30" s="6"/>
      <x:c r="F30" s="6"/>
      <x:c r="G30" s="6"/>
    </x:row>
    <x:row r="31" ht="15" hidden="0" customHeight="1">
      <x:c r="A31" s="6" t="str">
        <x:v>Os identificadores DOC-001 a DOC-011 são fictícios. Não existem arquivos, contas, pessoas ou links reais associados a eles.</x:v>
      </x:c>
      <x:c r="B31" s="6"/>
      <x:c r="C31" s="6"/>
      <x:c r="D31" s="6"/>
      <x:c r="E31" s="6"/>
      <x:c r="F31" s="6"/>
      <x:c r="G31" s="6"/>
    </x:row>
    <x:row r="32" ht="15" hidden="0" customHeight="1">
      <x:c r="A32" s="6" t="str">
        <x:v>Conheça a aplicação e o SmartChat: https://github.com/ubirajaratheodoro/smartchat/tree/main/downloads/conciliacao-financeira</x:v>
      </x:c>
      <x:c r="B32" s="6"/>
      <x:c r="C32" s="6"/>
      <x:c r="D32" s="6"/>
      <x:c r="E32" s="6"/>
      <x:c r="F32" s="6"/>
      <x:c r="G32" s="6"/>
    </x:row>
    <x:row r="33" ht="15" hidden="0" customHeight="1">
      <x:c r="A33" s="6" t="str">
        <x:v>Padrão de especificação: https://sun.eduzz.com/Q9NDKAYP01</x:v>
      </x:c>
      <x:c r="B33" s="6"/>
      <x:c r="C33" s="6"/>
      <x:c r="D33" s="6"/>
      <x:c r="E33" s="6"/>
      <x:c r="F33" s="6"/>
      <x:c r="G33" s="6"/>
    </x:row>
    <x:row r="34">
      <x:c r="A34" s="2"/>
      <x:c r="B34" s="2"/>
      <x:c r="C34" s="2"/>
      <x:c r="D34" s="2"/>
      <x:c r="E34" s="2"/>
      <x:c r="F34" s="2"/>
      <x:c r="G34" s="2"/>
    </x:row>
  </x:sheetData>
  <x:mergeCells>
    <x:mergeCell ref="A1:G1"/>
    <x:mergeCell ref="A2:G2"/>
    <x:mergeCell ref="A11:G11"/>
    <x:mergeCell ref="A27:G27"/>
    <x:mergeCell ref="A28:G28"/>
    <x:mergeCell ref="A29:G29"/>
    <x:mergeCell ref="A30:G30"/>
    <x:mergeCell ref="A31:G31"/>
    <x:mergeCell ref="A32:G32"/>
    <x:mergeCell ref="A33:G33"/>
  </x:mergeCells>
  <x:pageMargins left="0.7" right="0.7" top="0.75" bottom="0.75" header="0.3" footer="0.3"/>
</x:worksheet>
</file>