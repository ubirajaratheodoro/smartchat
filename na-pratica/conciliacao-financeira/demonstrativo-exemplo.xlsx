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2f0af3a987c4ed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mplo fictício" sheetId="1" r:id="R18d72e02e2e2495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dd/mm/yyyy"/>
    <x:numFmt numFmtId="201" formatCode="&quot;R$ &quot;#,##0.00;[Red]&quot;-R$ &quot;#,##0.00"/>
  </x:numFmts>
  <x:fonts count="10">
    <x:font>
      <x:sz val="11"/>
      <x:name val="Carlito"/>
    </x:font>
    <x:font>
      <x:sz val="11"/>
      <x:color rgb="FF000000"/>
      <x:name val="Calibri"/>
    </x:font>
    <x:font>
      <x:b/>
      <x:sz val="16"/>
      <x:color rgb="FFFFFFFF"/>
      <x:name val="Calibri"/>
    </x:font>
    <x:font>
      <x:i/>
      <x:sz val="10"/>
      <x:color rgb="FF666666"/>
      <x:name val="Calibri"/>
    </x:font>
    <x:font>
      <x:b/>
      <x:sz val="11"/>
      <x:color rgb="FF17365D"/>
      <x:name val="Calibri"/>
    </x:font>
    <x:font>
      <x:b/>
      <x:sz val="11"/>
      <x:color rgb="FF006100"/>
      <x:name val="Calibri"/>
    </x:font>
    <x:font>
      <x:b/>
      <x:sz val="10"/>
      <x:color rgb="FF666666"/>
      <x:name val="Calibri"/>
    </x:font>
    <x:font>
      <x:b/>
      <x:sz val="11"/>
      <x:color rgb="FFFFFFFF"/>
      <x:name val="Calibri"/>
    </x:font>
    <x:font>
      <x:b/>
      <x:sz val="11"/>
      <x:color rgb="FF000000"/>
      <x:name val="Calibri"/>
    </x:font>
    <x:font>
      <x:sz val="10"/>
      <x:color rgb="FF595959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F00"/>
      </x:patternFill>
    </x:fill>
    <x:fill>
      <x:patternFill patternType="solid">
        <x:fgColor rgb="FFE2F0D9"/>
      </x:patternFill>
    </x:fill>
    <x:fill>
      <x:patternFill patternType="solid">
        <x:fgColor rgb="FFFFFFFF"/>
      </x:patternFill>
    </x:fill>
    <x:fill>
      <x:patternFill patternType="solid">
        <x:fgColor rgb="FFF2F2F2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D9E2F3"/>
      </x:bottom>
      <x:diagonal/>
    </x:border>
  </x:borders>
  <x:cellStyleXfs count="1">
    <x:xf numFmtId="0" fontId="0" fillId="0" borderId="0"/>
  </x:cellStyleXfs>
  <x:cellXfs count="4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horizontal="center" vertical="center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6" fillId="0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/>
    </x:xf>
    <x:xf numFmtId="200" fontId="1" fillId="6" borderId="0" xfId="0" applyNumberFormat="1" applyFont="1" applyFill="1" applyBorder="1" applyAlignment="1">
      <x:alignment horizontal="center" vertical="center"/>
    </x:xf>
    <x:xf numFmtId="201" fontId="1" fillId="6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 wrapText="1"/>
    </x:xf>
    <x:xf numFmtId="0" fontId="1" fillId="6" borderId="1" xfId="0" applyNumberFormat="1" applyFont="1" applyFill="1" applyBorder="1" applyAlignment="1">
      <x:alignment vertical="center"/>
    </x:xf>
    <x:xf numFmtId="200" fontId="1" fillId="6" borderId="1" xfId="0" applyNumberFormat="1" applyFont="1" applyFill="1" applyBorder="1" applyAlignment="1">
      <x:alignment horizontal="center" vertical="center"/>
    </x:xf>
    <x:xf numFmtId="201" fontId="1" fillId="6" borderId="1" xfId="0" applyNumberFormat="1" applyFont="1" applyFill="1" applyBorder="1" applyAlignment="1">
      <x:alignment vertical="center"/>
    </x:xf>
    <x:xf numFmtId="0" fontId="1" fillId="6" borderId="1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vertical="center"/>
    </x:xf>
    <x:xf numFmtId="200" fontId="1" fillId="7" borderId="0" xfId="0" applyNumberFormat="1" applyFont="1" applyFill="1" applyBorder="1" applyAlignment="1">
      <x:alignment horizontal="center" vertical="center"/>
    </x:xf>
    <x:xf numFmtId="201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0" fontId="1" fillId="7" borderId="1" xfId="0" applyNumberFormat="1" applyFont="1" applyFill="1" applyBorder="1" applyAlignment="1">
      <x:alignment vertical="center"/>
    </x:xf>
    <x:xf numFmtId="200" fontId="1" fillId="7" borderId="1" xfId="0" applyNumberFormat="1" applyFont="1" applyFill="1" applyBorder="1" applyAlignment="1">
      <x:alignment horizontal="center" vertical="center"/>
    </x:xf>
    <x:xf numFmtId="201" fontId="1" fillId="7" borderId="1" xfId="0" applyNumberFormat="1" applyFont="1" applyFill="1" applyBorder="1" applyAlignment="1">
      <x:alignment vertical="center"/>
    </x:xf>
    <x:xf numFmtId="0" fontId="1" fillId="7" borderId="1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201" fontId="8" fillId="4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22b70b2f5ab4ea8" /><Relationship Type="http://schemas.openxmlformats.org/officeDocument/2006/relationships/theme" Target="/xl/theme/theme1.xml" Id="Rb478d6da4008441d" /><Relationship Type="http://schemas.openxmlformats.org/officeDocument/2006/relationships/sharedStrings" Target="/xl/sharedStrings.xml" Id="R3976120a57de4914" /><Relationship Type="http://schemas.openxmlformats.org/officeDocument/2006/relationships/worksheet" Target="/xl/worksheets/sheet1.xml" Id="R18d72e02e2e2495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2" topLeftCell="A13" activePane="bottomLeft" state="frozen"/>
    </x:sheetView>
  </x:sheetViews>
  <x:sheetFormatPr defaultRowHeight="15"/>
  <x:cols>
    <x:col min="1" max="1" width="24" hidden="0" customWidth="1"/>
    <x:col min="2" max="2" width="20" hidden="0" customWidth="1"/>
    <x:col min="3" max="3" width="18" hidden="0" customWidth="1"/>
    <x:col min="4" max="4" width="68" hidden="0" customWidth="1"/>
    <x:col min="5" max="5" width="52" hidden="0" customWidth="1"/>
    <x:col min="6" max="6" width="22" hidden="0" customWidth="1"/>
  </x:cols>
  <x:sheetData>
    <x:row r="1" ht="36" customHeight="1">
      <x:c r="A1" s="5" t="str">
        <x:v>DEMONSTRATIVO FINANCEIRO - SETEMBRO 2026 - EXEMPLO FICTÍCIO</x:v>
      </x:c>
      <x:c r="B1" s="5"/>
      <x:c r="C1" s="5"/>
      <x:c r="D1" s="5"/>
      <x:c r="E1" s="5"/>
      <x:c r="F1" s="5"/>
    </x:row>
    <x:row r="2" ht="24" customHeight="1">
      <x:c r="A2" s="6" t="str">
        <x:v>Dados inteiramente fictícios: valores, partes, conta e documentos criados para demonstração.</x:v>
      </x:c>
      <x:c r="B2" s="6"/>
      <x:c r="C2" s="6"/>
      <x:c r="D2" s="6"/>
      <x:c r="E2" s="6"/>
      <x:c r="F2" s="6"/>
    </x:row>
    <x:row r="3" ht="25" customHeight="1">
      <x:c r="A3" s="11" t="str">
        <x:v>Moeda</x:v>
      </x:c>
      <x:c r="B3" s="8" t="str">
        <x:v>BRL</x:v>
      </x:c>
      <x:c r="C3" s="2"/>
      <x:c r="D3" s="11" t="str">
        <x:v>Saldo inicial</x:v>
      </x:c>
      <x:c r="E3" s="12" t="n">
        <x:v>12000</x:v>
      </x:c>
      <x:c r="F3" s="2"/>
    </x:row>
    <x:row r="4" ht="25" customHeight="1">
      <x:c r="A4" s="11" t="str">
        <x:v>Código bancário</x:v>
      </x:c>
      <x:c r="B4" s="8" t="str">
        <x:v>Fictício</x:v>
      </x:c>
      <x:c r="C4" s="2"/>
      <x:c r="D4" s="11" t="str">
        <x:v>Total entradas</x:v>
      </x:c>
      <x:c r="E4" s="12" t="n">
        <x:f>ROUND(SUMIF(A13:A24,"CREDIT",C13:C24),2)</x:f>
        <x:v>15000</x:v>
      </x:c>
      <x:c r="F4" s="2"/>
    </x:row>
    <x:row r="5" ht="25" customHeight="1">
      <x:c r="A5" s="11" t="str">
        <x:v>Nome do banco</x:v>
      </x:c>
      <x:c r="B5" s="8" t="str">
        <x:v>Banco de demonstração</x:v>
      </x:c>
      <x:c r="C5" s="2"/>
      <x:c r="D5" s="11" t="str">
        <x:v>Total saídas</x:v>
      </x:c>
      <x:c r="E5" s="12" t="n">
        <x:f>ROUND(-SUMIF(A13:A24,"PAYMENT",C13:C24),2)</x:f>
        <x:v>7320</x:v>
      </x:c>
      <x:c r="F5" s="2"/>
    </x:row>
    <x:row r="6" ht="25" customHeight="1">
      <x:c r="A6" s="11" t="str">
        <x:v>Conta</x:v>
      </x:c>
      <x:c r="B6" s="8" t="str">
        <x:v>CONTA FICTÍCIA</x:v>
      </x:c>
      <x:c r="C6" s="2"/>
      <x:c r="D6" s="11" t="str">
        <x:v>Saldo final calculado</x:v>
      </x:c>
      <x:c r="E6" s="12" t="n">
        <x:f>ROUND(E3+E4-E5,2)</x:f>
        <x:v>19680</x:v>
      </x:c>
      <x:c r="F6" s="2"/>
    </x:row>
    <x:row r="7" ht="25" customHeight="1">
      <x:c r="A7" s="11" t="str">
        <x:v>Data inicial</x:v>
      </x:c>
      <x:c r="B7" s="9" t="d">
        <x:v>2026-09-01T00:00:00.000Z</x:v>
      </x:c>
      <x:c r="C7" s="2"/>
      <x:c r="D7" s="13" t="str">
        <x:v>Base do exemplo</x:v>
      </x:c>
      <x:c r="E7" s="14" t="n">
        <x:f>ROUND(SUM(F13:F24),2)</x:f>
        <x:v>7500</x:v>
      </x:c>
      <x:c r="F7" s="2"/>
    </x:row>
    <x:row r="8" ht="25" customHeight="1">
      <x:c r="A8" s="11" t="str">
        <x:v>Data final</x:v>
      </x:c>
      <x:c r="B8" s="9" t="d">
        <x:v>2026-09-30T00:00:00.000Z</x:v>
      </x:c>
      <x:c r="C8" s="2"/>
      <x:c r="D8" s="11" t="str">
        <x:v>Saldo final de referência</x:v>
      </x:c>
      <x:c r="E8" s="12" t="n">
        <x:v>19680</x:v>
      </x:c>
      <x:c r="F8" s="2"/>
    </x:row>
    <x:row r="9" ht="25" customHeight="1">
      <x:c r="A9" s="11" t="str">
        <x:v>Movimentos / linhas</x:v>
      </x:c>
      <x:c r="B9" s="8" t="str">
        <x:v>11 movimentos / 12 linhas</x:v>
      </x:c>
      <x:c r="C9" s="2"/>
      <x:c r="D9" s="11" t="str">
        <x:v>Conciliação</x:v>
      </x:c>
      <x:c r="E9" s="17" t="str">
        <x:f>IF(ROUND(E6-E8,2)=0,"OK","DIVERGENTE")</x:f>
        <x:v>OK</x:v>
      </x:c>
      <x:c r="F9" s="2"/>
    </x:row>
    <x:row r="10" ht="22" customHeight="1">
      <x:c r="A10" s="2"/>
      <x:c r="B10" s="2"/>
      <x:c r="C10" s="2"/>
      <x:c r="D10" s="2"/>
      <x:c r="E10" s="2"/>
      <x:c r="F10" s="2"/>
    </x:row>
    <x:row r="11" ht="22" customHeight="1">
      <x:c r="A11" s="18" t="str">
        <x:v>ILUSTRAÇÃO PÚBLICA - NÃO UTILIZAR COMO DOCUMENTO CONTÁBIL</x:v>
      </x:c>
      <x:c r="B11" s="18"/>
      <x:c r="C11" s="18"/>
      <x:c r="D11" s="18"/>
      <x:c r="E11" s="18"/>
      <x:c r="F11" s="18"/>
    </x:row>
    <x:row r="12" ht="30" customHeight="1">
      <x:c r="A12" s="20" t="str">
        <x:v>TIPO</x:v>
      </x:c>
      <x:c r="B12" s="20" t="str">
        <x:v>DATA</x:v>
      </x:c>
      <x:c r="C12" s="20" t="str">
        <x:v>VALOR</x:v>
      </x:c>
      <x:c r="D12" s="20" t="str">
        <x:v>DESCRIÇÃO</x:v>
      </x:c>
      <x:c r="E12" s="20" t="str">
        <x:v>CATEGORIA</x:v>
      </x:c>
      <x:c r="F12" s="20" t="str">
        <x:v>BASE DO EXEMPLO</x:v>
      </x:c>
    </x:row>
    <x:row r="13" ht="36" customHeight="1">
      <x:c r="A13" s="26" t="str">
        <x:v>PAYMENT</x:v>
      </x:c>
      <x:c r="B13" s="27" t="d">
        <x:v>2026-09-03T00:00:00.000Z</x:v>
      </x:c>
      <x:c r="C13" s="28" t="n">
        <x:v>-2000</x:v>
      </x:c>
      <x:c r="D13" s="29" t="str">
        <x:v>Fornecedor Modelo - adiantamento para manutenção.</x:v>
      </x:c>
      <x:c r="E13" s="29" t="str">
        <x:v>ADIANTAMENTO A FORNECEDORES</x:v>
      </x:c>
      <x:c r="F13" s="28" t="n">
        <x:v>0</x:v>
      </x:c>
    </x:row>
    <x:row r="14" ht="36" customHeight="1">
      <x:c r="A14" s="34" t="str">
        <x:v>PAYMENT</x:v>
      </x:c>
      <x:c r="B14" s="35" t="d">
        <x:v>2026-09-04T00:00:00.000Z</x:v>
      </x:c>
      <x:c r="C14" s="36" t="n">
        <x:v>-900</x:v>
      </x:c>
      <x:c r="D14" s="37" t="str">
        <x:v>Administrador de demonstração - pró-labore.</x:v>
      </x:c>
      <x:c r="E14" s="37" t="str">
        <x:v>PRÓ-LABORE</x:v>
      </x:c>
      <x:c r="F14" s="36" t="n">
        <x:v>0</x:v>
      </x:c>
    </x:row>
    <x:row r="15" ht="36" customHeight="1">
      <x:c r="A15" s="26" t="str">
        <x:v>CREDIT</x:v>
      </x:c>
      <x:c r="B15" s="27" t="d">
        <x:v>2026-09-05T00:00:00.000Z</x:v>
      </x:c>
      <x:c r="C15" s="28" t="n">
        <x:v>2300</x:v>
      </x:c>
      <x:c r="D15" s="29" t="str">
        <x:v>Locatário Alfa - aluguel do período.</x:v>
      </x:c>
      <x:c r="E15" s="29" t="str">
        <x:v>RECEITA ALUGUÉIS</x:v>
      </x:c>
      <x:c r="F15" s="28" t="n">
        <x:v>2300</x:v>
      </x:c>
    </x:row>
    <x:row r="16" ht="36" customHeight="1">
      <x:c r="A16" s="34" t="str">
        <x:v>PAYMENT</x:v>
      </x:c>
      <x:c r="B16" s="35" t="d">
        <x:v>2026-09-08T00:00:00.000Z</x:v>
      </x:c>
      <x:c r="C16" s="36" t="n">
        <x:v>-120</x:v>
      </x:c>
      <x:c r="D16" s="37" t="str">
        <x:v>PIS - parcela de pagamento conjunto fictício de R$ 620,00.</x:v>
      </x:c>
      <x:c r="E16" s="37" t="str">
        <x:v>IMPOSTOS FEDERAIS - PIS</x:v>
      </x:c>
      <x:c r="F16" s="36" t="n">
        <x:v>0</x:v>
      </x:c>
    </x:row>
    <x:row r="17" ht="36" customHeight="1">
      <x:c r="A17" s="26" t="str">
        <x:v>PAYMENT</x:v>
      </x:c>
      <x:c r="B17" s="27" t="d">
        <x:v>2026-09-08T00:00:00.000Z</x:v>
      </x:c>
      <x:c r="C17" s="28" t="n">
        <x:v>-500</x:v>
      </x:c>
      <x:c r="D17" s="29" t="str">
        <x:v>COFINS - parcela do mesmo pagamento conjunto fictício.</x:v>
      </x:c>
      <x:c r="E17" s="29" t="str">
        <x:v>IMPOSTOS FEDERAIS - COFINS</x:v>
      </x:c>
      <x:c r="F17" s="28" t="n">
        <x:v>0</x:v>
      </x:c>
    </x:row>
    <x:row r="18" ht="36" customHeight="1">
      <x:c r="A18" s="34" t="str">
        <x:v>CREDIT</x:v>
      </x:c>
      <x:c r="B18" s="35" t="d">
        <x:v>2026-09-10T00:00:00.000Z</x:v>
      </x:c>
      <x:c r="C18" s="36" t="n">
        <x:v>3400</x:v>
      </x:c>
      <x:c r="D18" s="37" t="str">
        <x:v>Locatário Beta - aluguel do período.</x:v>
      </x:c>
      <x:c r="E18" s="37" t="str">
        <x:v>RECEITA ALUGUÉIS</x:v>
      </x:c>
      <x:c r="F18" s="36" t="n">
        <x:v>3400</x:v>
      </x:c>
    </x:row>
    <x:row r="19" ht="36" customHeight="1">
      <x:c r="A19" s="26" t="str">
        <x:v>PAYMENT</x:v>
      </x:c>
      <x:c r="B19" s="27" t="d">
        <x:v>2026-09-12T00:00:00.000Z</x:v>
      </x:c>
      <x:c r="C19" s="28" t="n">
        <x:v>-850</x:v>
      </x:c>
      <x:c r="D19" s="29" t="str">
        <x:v>Operadora Exemplo - plano de saúde empresarial.</x:v>
      </x:c>
      <x:c r="E19" s="29" t="str">
        <x:v>PLANO DE SAÚDE</x:v>
      </x:c>
      <x:c r="F19" s="28" t="n">
        <x:v>0</x:v>
      </x:c>
    </x:row>
    <x:row r="20" ht="36" customHeight="1">
      <x:c r="A20" s="34" t="str">
        <x:v>CREDIT</x:v>
      </x:c>
      <x:c r="B20" s="35" t="d">
        <x:v>2026-09-15T00:00:00.000Z</x:v>
      </x:c>
      <x:c r="C20" s="36" t="n">
        <x:v>7500</x:v>
      </x:c>
      <x:c r="D20" s="37" t="str">
        <x:v>Seguradora Exemplo - ressarcimento para reparo.</x:v>
      </x:c>
      <x:c r="E20" s="37" t="str">
        <x:v>RESSARCIMENTO/INDENIZAÇÃO DE SEGURO</x:v>
      </x:c>
      <x:c r="F20" s="36" t="n">
        <x:v>0</x:v>
      </x:c>
    </x:row>
    <x:row r="21" ht="36" customHeight="1">
      <x:c r="A21" s="26" t="str">
        <x:v>PAYMENT</x:v>
      </x:c>
      <x:c r="B21" s="27" t="d">
        <x:v>2026-09-18T00:00:00.000Z</x:v>
      </x:c>
      <x:c r="C21" s="28" t="n">
        <x:v>-450</x:v>
      </x:c>
      <x:c r="D21" s="29" t="str">
        <x:v>Escritório Exemplo - serviços contábeis.</x:v>
      </x:c>
      <x:c r="E21" s="29" t="str">
        <x:v>CONTABILIDADE</x:v>
      </x:c>
      <x:c r="F21" s="28" t="n">
        <x:v>0</x:v>
      </x:c>
    </x:row>
    <x:row r="22" ht="36" customHeight="1">
      <x:c r="A22" s="34" t="str">
        <x:v>PAYMENT</x:v>
      </x:c>
      <x:c r="B22" s="35" t="d">
        <x:v>2026-09-20T00:00:00.000Z</x:v>
      </x:c>
      <x:c r="C22" s="36" t="n">
        <x:v>-1000</x:v>
      </x:c>
      <x:c r="D22" s="37" t="str">
        <x:v>Aplicação financeira de demonstração.</x:v>
      </x:c>
      <x:c r="E22" s="37" t="str">
        <x:v>APLICAÇÕES FINANCEIRAS</x:v>
      </x:c>
      <x:c r="F22" s="36" t="n">
        <x:v>0</x:v>
      </x:c>
    </x:row>
    <x:row r="23" ht="36" customHeight="1">
      <x:c r="A23" s="26" t="str">
        <x:v>PAYMENT</x:v>
      </x:c>
      <x:c r="B23" s="27" t="d">
        <x:v>2026-09-22T00:00:00.000Z</x:v>
      </x:c>
      <x:c r="C23" s="28" t="n">
        <x:v>-1500</x:v>
      </x:c>
      <x:c r="D23" s="29" t="str">
        <x:v>Sócio de demonstração - distribuição de lucros.</x:v>
      </x:c>
      <x:c r="E23" s="29" t="str">
        <x:v>DISTRIBUIÇÃO DE LUCROS</x:v>
      </x:c>
      <x:c r="F23" s="28" t="n">
        <x:v>0</x:v>
      </x:c>
    </x:row>
    <x:row r="24" ht="36" customHeight="1">
      <x:c r="A24" s="34" t="str">
        <x:v>CREDIT</x:v>
      </x:c>
      <x:c r="B24" s="35" t="d">
        <x:v>2026-09-28T00:00:00.000Z</x:v>
      </x:c>
      <x:c r="C24" s="36" t="n">
        <x:v>1800</x:v>
      </x:c>
      <x:c r="D24" s="37" t="str">
        <x:v>Locatário Gama - aluguel do período.</x:v>
      </x:c>
      <x:c r="E24" s="37" t="str">
        <x:v>RECEITA ALUGUÉIS</x:v>
      </x:c>
      <x:c r="F24" s="36" t="n">
        <x:v>1800</x:v>
      </x:c>
    </x:row>
    <x:row r="25" ht="28" customHeight="1">
      <x:c r="A25" s="2"/>
      <x:c r="B25" s="2"/>
      <x:c r="C25" s="2"/>
      <x:c r="D25" s="2"/>
      <x:c r="E25" s="39" t="str">
        <x:v>TOTAL DA BASE DO EXEMPLO</x:v>
      </x:c>
      <x:c r="F25" s="40" t="n">
        <x:f>ROUND(SUM(F13:F24),2)</x:f>
        <x:v>7500</x:v>
      </x:c>
    </x:row>
    <x:row r="26" ht="22" customHeight="1">
      <x:c r="A26" s="2"/>
      <x:c r="B26" s="2"/>
      <x:c r="C26" s="2"/>
      <x:c r="D26" s="2"/>
      <x:c r="E26" s="2"/>
      <x:c r="F26" s="2"/>
    </x:row>
    <x:row r="27" ht="26" customHeight="1">
      <x:c r="A27" s="42" t="str">
        <x:v>11 movimentos bancários em 12 linhas: o pagamento de R$ 620,00 foi separado em PIS (R$ 120,00) e COFINS (R$ 500,00), sem duplicar valores.</x:v>
      </x:c>
      <x:c r="B27" s="42"/>
      <x:c r="C27" s="42"/>
      <x:c r="D27" s="42"/>
      <x:c r="E27" s="42"/>
      <x:c r="F27" s="42"/>
    </x:row>
    <x:row r="28" ht="26" customHeight="1">
      <x:c r="A28" s="42" t="str">
        <x:v>A base de R$ 7.500,00 inclui apenas os três aluguéis neste cenário fictício. O ressarcimento fica fora da base exclusivamente nesta ilustração.</x:v>
      </x:c>
      <x:c r="B28" s="42"/>
      <x:c r="C28" s="42"/>
      <x:c r="D28" s="42"/>
      <x:c r="E28" s="42"/>
      <x:c r="F28" s="42"/>
    </x:row>
    <x:row r="29" ht="26" customHeight="1">
      <x:c r="A29" s="42" t="str">
        <x:v>O adiantamento ao Fornecedor Modelo tem nota fiscal pendente neste cenário. Não há documentos reais associados aos lançamentos.</x:v>
      </x:c>
      <x:c r="B29" s="42"/>
      <x:c r="C29" s="42"/>
      <x:c r="D29" s="42"/>
      <x:c r="E29" s="42"/>
      <x:c r="F29" s="42"/>
    </x:row>
    <x:row r="30" ht="26" customHeight="1">
      <x:c r="A30" s="42" t="str">
        <x:v>Exemplo construído com dados sintéticos para ilustrar a entrega; não representa nova execução sobre comprovantes públicos nem orientação fiscal.</x:v>
      </x:c>
      <x:c r="B30" s="42"/>
      <x:c r="C30" s="42"/>
      <x:c r="D30" s="42"/>
      <x:c r="E30" s="42"/>
      <x:c r="F30" s="42"/>
    </x:row>
    <x:row r="31" ht="26" customHeight="1">
      <x:c r="A31" s="42" t="str">
        <x:v>SmartChat na prática: https://github.com/ubirajaratheodoro/smartchat/tree/main/na-pratica/conciliacao-financeira</x:v>
      </x:c>
      <x:c r="B31" s="42"/>
      <x:c r="C31" s="42"/>
      <x:c r="D31" s="42"/>
      <x:c r="E31" s="42"/>
      <x:c r="F31" s="42"/>
    </x:row>
    <x:row r="32" ht="26" customHeight="1">
      <x:c r="A32" s="42" t="str">
        <x:v>Padrão de especificação (link provisório): https://sun.eduzz.com/Q9NDKAYP01</x:v>
      </x:c>
      <x:c r="B32" s="42"/>
      <x:c r="C32" s="42"/>
      <x:c r="D32" s="42"/>
      <x:c r="E32" s="42"/>
      <x:c r="F32" s="42"/>
    </x:row>
  </x:sheetData>
  <x:mergeCells>
    <x:mergeCell ref="A1:F1"/>
    <x:mergeCell ref="A2:F2"/>
    <x:mergeCell ref="A11:F11"/>
    <x:mergeCell ref="A27:F27"/>
    <x:mergeCell ref="A28:F28"/>
    <x:mergeCell ref="A29:F29"/>
    <x:mergeCell ref="A30:F30"/>
    <x:mergeCell ref="A31:F31"/>
    <x:mergeCell ref="A32:F32"/>
  </x:mergeCells>
  <x:pageMargins left="0.7" right="0.7" top="0.75" bottom="0.75" header="0.3" footer="0.3"/>
</x:worksheet>
</file>